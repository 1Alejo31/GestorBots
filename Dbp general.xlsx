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GestorBots\"/>
    </mc:Choice>
  </mc:AlternateContent>
  <xr:revisionPtr revIDLastSave="0" documentId="13_ncr:1_{59F70897-F390-4B01-9380-248225630547}" xr6:coauthVersionLast="47" xr6:coauthVersionMax="47" xr10:uidLastSave="{00000000-0000-0000-0000-000000000000}"/>
  <bookViews>
    <workbookView xWindow="-105" yWindow="0" windowWidth="19410" windowHeight="16305" xr2:uid="{519DFBDE-54F0-47E5-89F8-A5B063E8A7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4" i="1" l="1"/>
  <c r="O81" i="1"/>
</calcChain>
</file>

<file path=xl/sharedStrings.xml><?xml version="1.0" encoding="utf-8"?>
<sst xmlns="http://schemas.openxmlformats.org/spreadsheetml/2006/main" count="399" uniqueCount="189">
  <si>
    <t xml:space="preserve">Nombre Clave </t>
  </si>
  <si>
    <t>Tipo</t>
  </si>
  <si>
    <t>Nombre tabla</t>
  </si>
  <si>
    <t>Em_Codigo</t>
  </si>
  <si>
    <t>1. Primer nivel de datos</t>
  </si>
  <si>
    <t>tbl_Empresa</t>
  </si>
  <si>
    <t>tbl_Credencial</t>
  </si>
  <si>
    <t>Pk</t>
  </si>
  <si>
    <t>Fk</t>
  </si>
  <si>
    <t>Cr_Codigo</t>
  </si>
  <si>
    <t>Cr_Em_Codigo</t>
  </si>
  <si>
    <t>Cr_Nombre_Usuario</t>
  </si>
  <si>
    <t>Cr_Password</t>
  </si>
  <si>
    <t>Cr_Perfil</t>
  </si>
  <si>
    <t>Cr_Tipo_Usuario</t>
  </si>
  <si>
    <t>Cr_Tipo_Cliente</t>
  </si>
  <si>
    <t>Cr_Fecha_Creacion</t>
  </si>
  <si>
    <t>Cr_Quien_Creacion</t>
  </si>
  <si>
    <t>Cr_Fecha_Actualizacion</t>
  </si>
  <si>
    <t>Cr_Quien_Actualizacion</t>
  </si>
  <si>
    <t>Cr_Estatus</t>
  </si>
  <si>
    <t>tbl_permisos</t>
  </si>
  <si>
    <t>Pe_Codigo</t>
  </si>
  <si>
    <t>Pe_Nombre</t>
  </si>
  <si>
    <t>Pe_Seg_Nombre</t>
  </si>
  <si>
    <t>Pe_Apellido</t>
  </si>
  <si>
    <t>Pe_Seg_Apellido</t>
  </si>
  <si>
    <t>Pe_Tipo_Documento</t>
  </si>
  <si>
    <t>2. Segundo nivel de datos</t>
  </si>
  <si>
    <t>QUIEN REQUISTRO</t>
  </si>
  <si>
    <t>QUIEN MODIFICO</t>
  </si>
  <si>
    <t>ACTIVO/INACTIVO</t>
  </si>
  <si>
    <t>Em_Fecha_Creacion</t>
  </si>
  <si>
    <t>Em_Usuario_Creacion</t>
  </si>
  <si>
    <t>Em_Fecha_Actualizacion</t>
  </si>
  <si>
    <t>Em_Usuario_Actualizacion</t>
  </si>
  <si>
    <t>Em_Estatus</t>
  </si>
  <si>
    <t>Em_Detalle</t>
  </si>
  <si>
    <t>Em_Detalle1</t>
  </si>
  <si>
    <t>Em_Detalle2</t>
  </si>
  <si>
    <t>Em_Detalle3</t>
  </si>
  <si>
    <t>Em_Detalle4</t>
  </si>
  <si>
    <t>Em_Detalle5</t>
  </si>
  <si>
    <t>Em_Detalle6</t>
  </si>
  <si>
    <t>tbl_Gestion</t>
  </si>
  <si>
    <t>Gs_Codigo</t>
  </si>
  <si>
    <t>Gs_Detalle</t>
  </si>
  <si>
    <t>Gs_Detalle1</t>
  </si>
  <si>
    <t>Gs_Detalle2</t>
  </si>
  <si>
    <t>Gs_Detalle3</t>
  </si>
  <si>
    <t>Gs_Detalle4</t>
  </si>
  <si>
    <t>Gs_Detalle5</t>
  </si>
  <si>
    <t>Gs_Detalle6</t>
  </si>
  <si>
    <t>Gs_Fecha_Creacion</t>
  </si>
  <si>
    <t>Gs_Usuario_Creacion</t>
  </si>
  <si>
    <t>Gs_Fecha_Actualizacion</t>
  </si>
  <si>
    <t>Gs_Usuario_Actualizacion</t>
  </si>
  <si>
    <t>Gs_Estatus</t>
  </si>
  <si>
    <t>Gs_Pe_Codigo</t>
  </si>
  <si>
    <t>Gs_Em_Codigo</t>
  </si>
  <si>
    <t>Contacto o no Contacto</t>
  </si>
  <si>
    <t>Nombre de quien contesta</t>
  </si>
  <si>
    <t>Cargo</t>
  </si>
  <si>
    <t>Interes Si/No</t>
  </si>
  <si>
    <t>Notas</t>
  </si>
  <si>
    <t>3. Tercer nivel de datos</t>
  </si>
  <si>
    <t>Nombre</t>
  </si>
  <si>
    <t>Pe_Documento</t>
  </si>
  <si>
    <t>Pe_Telefons_Fijo</t>
  </si>
  <si>
    <t>Pe_Cel</t>
  </si>
  <si>
    <t>Pe_Correo</t>
  </si>
  <si>
    <t>Pe_Direccion</t>
  </si>
  <si>
    <t>Pe_Departamento</t>
  </si>
  <si>
    <t>Pe_Ciudad</t>
  </si>
  <si>
    <t>Pe_Fecha_Creacion</t>
  </si>
  <si>
    <t>Pe_Usuario_Creacion</t>
  </si>
  <si>
    <t>Pe_Fecha_Actualizacion</t>
  </si>
  <si>
    <t>Pe_Usuario_Actualizacion</t>
  </si>
  <si>
    <t>Pe_Estatus</t>
  </si>
  <si>
    <t>4. Cuarto  nivel de datos</t>
  </si>
  <si>
    <t>tbl_Estandar</t>
  </si>
  <si>
    <t>Tipo documento</t>
  </si>
  <si>
    <t>cc, ce, ti, pp, pe</t>
  </si>
  <si>
    <t>Pe_Permiso</t>
  </si>
  <si>
    <t>tbl_Pais</t>
  </si>
  <si>
    <t>Pa_Codigo</t>
  </si>
  <si>
    <t>Pa_Detalle</t>
  </si>
  <si>
    <t>Pa_Detalle1</t>
  </si>
  <si>
    <t>Pa_Detalle2</t>
  </si>
  <si>
    <t>Pa_Detalle3</t>
  </si>
  <si>
    <t>Pa_Detalle4</t>
  </si>
  <si>
    <t>Pa_Detalle5</t>
  </si>
  <si>
    <t>Pa_Detalle6</t>
  </si>
  <si>
    <t>Pa_Fecha_Creacion</t>
  </si>
  <si>
    <t>Pa_Usuario_Creacion</t>
  </si>
  <si>
    <t>Pa_Fecha_Actualizacion</t>
  </si>
  <si>
    <t>Pa_Usuario_Actualizacion</t>
  </si>
  <si>
    <t>Pa_Estatus</t>
  </si>
  <si>
    <t>div_one_Codigo</t>
  </si>
  <si>
    <t>div_one_pa_Codigo</t>
  </si>
  <si>
    <t>div_one_Detalle</t>
  </si>
  <si>
    <t>div_one_Detalle1</t>
  </si>
  <si>
    <t>div_one_Detalle2</t>
  </si>
  <si>
    <t>div_one_Detalle3</t>
  </si>
  <si>
    <t>div_one_Detalle4</t>
  </si>
  <si>
    <t>div_one_Detalle5</t>
  </si>
  <si>
    <t>div_one_Detalle6</t>
  </si>
  <si>
    <t>div_one_Fecha_Creacion</t>
  </si>
  <si>
    <t>div_one_Usuario_Creacion</t>
  </si>
  <si>
    <t>div_one_Fecha_Actualizacion</t>
  </si>
  <si>
    <t>div_one_Usuario_Actualizacion</t>
  </si>
  <si>
    <t>div_one_Estatus</t>
  </si>
  <si>
    <t>tbl_division1</t>
  </si>
  <si>
    <t>tbl_division2</t>
  </si>
  <si>
    <t>tbl_division3</t>
  </si>
  <si>
    <t>Div_two_Codigo</t>
  </si>
  <si>
    <t>Div_two_done_Codigo</t>
  </si>
  <si>
    <t>Div_two_Detalle</t>
  </si>
  <si>
    <t>Div_two_Detalle1</t>
  </si>
  <si>
    <t>Div_two_Detalle2</t>
  </si>
  <si>
    <t>Div_two_Detalle3</t>
  </si>
  <si>
    <t>Div_two_Detalle4</t>
  </si>
  <si>
    <t>Div_two_Detalle5</t>
  </si>
  <si>
    <t>Div_two_Detalle6</t>
  </si>
  <si>
    <t>Div_two_Fecha_Creacion</t>
  </si>
  <si>
    <t>Div_two_Usuario_Creacion</t>
  </si>
  <si>
    <t>Div_two_Fecha_Actualizacion</t>
  </si>
  <si>
    <t>Div_two_Usuario_Actualizacion</t>
  </si>
  <si>
    <t>Div_two_Estatus</t>
  </si>
  <si>
    <t>Div_three_Codigo</t>
  </si>
  <si>
    <t>Div_three_dtwo_Codigo</t>
  </si>
  <si>
    <t>Div_three_Detalle</t>
  </si>
  <si>
    <t>Div_three_Detalle1</t>
  </si>
  <si>
    <t>Div_three_Detalle2</t>
  </si>
  <si>
    <t>Div_three_Detalle3</t>
  </si>
  <si>
    <t>Div_three_Detalle4</t>
  </si>
  <si>
    <t>Div_three_Detalle5</t>
  </si>
  <si>
    <t>Div_three_Detalle6</t>
  </si>
  <si>
    <t>Div_three_Fecha_Creacion</t>
  </si>
  <si>
    <t>Div_three_Usuario_Creacion</t>
  </si>
  <si>
    <t>Div_three_Fecha_Actualizacion</t>
  </si>
  <si>
    <t>Div_three_Usuario_Actualizacion</t>
  </si>
  <si>
    <t>Div_three_Estatus</t>
  </si>
  <si>
    <t>Es_Codigo</t>
  </si>
  <si>
    <t>Es_Detalle</t>
  </si>
  <si>
    <t>Es_Detalle1</t>
  </si>
  <si>
    <t>Es_Detalle2</t>
  </si>
  <si>
    <t>Es_Detalle3</t>
  </si>
  <si>
    <t>Es_Detalle4</t>
  </si>
  <si>
    <t>Es_Detalle5</t>
  </si>
  <si>
    <t>Es_Detalle6</t>
  </si>
  <si>
    <t>Es_Fecha_Creacion</t>
  </si>
  <si>
    <t>Es_Usuario_Creacion</t>
  </si>
  <si>
    <t>Es_Fecha_Actualizacion</t>
  </si>
  <si>
    <t>Es_Usuario_Actualizacion</t>
  </si>
  <si>
    <t>Es_Estatus</t>
  </si>
  <si>
    <t>tbl_Estandar1</t>
  </si>
  <si>
    <t>Es_one_Codigo</t>
  </si>
  <si>
    <t>Es_one_Fecha_Creacion</t>
  </si>
  <si>
    <t>Es_one_Detalle</t>
  </si>
  <si>
    <t>Es_one_Detalle1</t>
  </si>
  <si>
    <t>Es_one_Detalle2</t>
  </si>
  <si>
    <t>Es_one_Detalle3</t>
  </si>
  <si>
    <t>Es_one_Detalle4</t>
  </si>
  <si>
    <t>Es_one_Detalle5</t>
  </si>
  <si>
    <t>Es_one_Detalle6</t>
  </si>
  <si>
    <t>Es_one_Usuario_Creacion</t>
  </si>
  <si>
    <t>Es_one_Fecha_Actualizacion</t>
  </si>
  <si>
    <t>Es_one_Usuario_Actualizacion</t>
  </si>
  <si>
    <t>Es_one_Estatus</t>
  </si>
  <si>
    <t>DB_GETCLIENTS</t>
  </si>
  <si>
    <t>COLOMBIA</t>
  </si>
  <si>
    <t>CUNDINAMARCA</t>
  </si>
  <si>
    <t>BOGOTA, CHOACHI</t>
  </si>
  <si>
    <t>PUENTE, SACNRASDI</t>
  </si>
  <si>
    <t>telefono</t>
  </si>
  <si>
    <t>calificacion</t>
  </si>
  <si>
    <t>direccion</t>
  </si>
  <si>
    <t>horario</t>
  </si>
  <si>
    <t>Em_Detalle7</t>
  </si>
  <si>
    <t>Em_Detalle8</t>
  </si>
  <si>
    <t>Web</t>
  </si>
  <si>
    <t>insta</t>
  </si>
  <si>
    <t>Em_Detalle9</t>
  </si>
  <si>
    <t>Em_Detalle10</t>
  </si>
  <si>
    <t>endpoint</t>
  </si>
  <si>
    <t>coordenadas</t>
  </si>
  <si>
    <t>DB_GENERAL</t>
  </si>
  <si>
    <t>Pe_Fecha_NACIMIENTO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</si>
</sst>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83A3A"/>
        <bgColor indexed="64"/>
      </patternFill>
    </fill>
    <fill>
      <patternFill patternType="solid">
        <fgColor rgb="FFF8C63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3473FE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5" borderId="6" xfId="0" applyFill="1" applyBorder="1"/>
    <xf numFmtId="0" fontId="0" fillId="6" borderId="4" xfId="0" applyFill="1" applyBorder="1" applyAlignment="1">
      <alignment horizontal="center"/>
    </xf>
    <xf numFmtId="0" fontId="0" fillId="6" borderId="1" xfId="0" applyFill="1" applyBorder="1"/>
    <xf numFmtId="0" fontId="0" fillId="7" borderId="4" xfId="0" applyFill="1" applyBorder="1" applyAlignment="1">
      <alignment horizontal="center"/>
    </xf>
    <xf numFmtId="0" fontId="0" fillId="7" borderId="1" xfId="0" applyFill="1" applyBorder="1"/>
    <xf numFmtId="0" fontId="0" fillId="2" borderId="4" xfId="0" applyFill="1" applyBorder="1" applyAlignment="1">
      <alignment horizontal="center"/>
    </xf>
    <xf numFmtId="0" fontId="0" fillId="2" borderId="1" xfId="0" applyFill="1" applyBorder="1"/>
    <xf numFmtId="0" fontId="0" fillId="8" borderId="4" xfId="0" applyFill="1" applyBorder="1" applyAlignment="1">
      <alignment horizontal="center"/>
    </xf>
    <xf numFmtId="0" fontId="0" fillId="8" borderId="1" xfId="0" applyFill="1" applyBorder="1"/>
    <xf numFmtId="0" fontId="0" fillId="9" borderId="4" xfId="0" applyFill="1" applyBorder="1" applyAlignment="1">
      <alignment horizontal="center"/>
    </xf>
    <xf numFmtId="0" fontId="0" fillId="9" borderId="1" xfId="0" applyFill="1" applyBorder="1"/>
    <xf numFmtId="0" fontId="0" fillId="10" borderId="4" xfId="0" applyFill="1" applyBorder="1" applyAlignment="1">
      <alignment horizontal="center"/>
    </xf>
    <xf numFmtId="0" fontId="0" fillId="10" borderId="1" xfId="0" applyFill="1" applyBorder="1"/>
    <xf numFmtId="0" fontId="0" fillId="11" borderId="4" xfId="0" applyFill="1" applyBorder="1" applyAlignment="1">
      <alignment horizontal="center"/>
    </xf>
    <xf numFmtId="0" fontId="0" fillId="11" borderId="1" xfId="0" applyFill="1" applyBorder="1"/>
    <xf numFmtId="0" fontId="0" fillId="8" borderId="4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473FE"/>
      <color rgb="FF003EEE"/>
      <color rgb="FF00FFFF"/>
      <color rgb="FFF8C63A"/>
      <color rgb="FFF8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5BF2-7B07-450E-9CCA-8CDD9098B169}">
  <dimension ref="A1:Z93"/>
  <sheetViews>
    <sheetView tabSelected="1" topLeftCell="A4" zoomScale="85" zoomScaleNormal="85" workbookViewId="0">
      <selection activeCell="B33" sqref="B33:D33"/>
    </sheetView>
  </sheetViews>
  <sheetFormatPr baseColWidth="10" defaultRowHeight="15" x14ac:dyDescent="0.25"/>
  <cols>
    <col min="1" max="1" width="11.42578125" style="1"/>
    <col min="2" max="2" width="20.28515625" style="1" customWidth="1"/>
    <col min="3" max="3" width="26.5703125" style="1" bestFit="1" customWidth="1"/>
    <col min="4" max="4" width="38.140625" style="1" customWidth="1"/>
    <col min="5" max="5" width="11.42578125" style="1"/>
    <col min="6" max="6" width="11.42578125" style="1" customWidth="1"/>
    <col min="7" max="7" width="17.42578125" style="1" bestFit="1" customWidth="1"/>
    <col min="8" max="8" width="30" style="1" bestFit="1" customWidth="1"/>
    <col min="9" max="9" width="49" style="1" customWidth="1"/>
    <col min="10" max="10" width="11.42578125" style="1"/>
    <col min="11" max="11" width="21.140625" style="1" customWidth="1"/>
    <col min="12" max="12" width="34.140625" style="1" customWidth="1"/>
    <col min="13" max="13" width="19.85546875" style="1" customWidth="1"/>
    <col min="14" max="14" width="11.42578125" style="1"/>
    <col min="15" max="15" width="21" style="1" customWidth="1"/>
    <col min="16" max="16" width="37.28515625" style="1" customWidth="1"/>
    <col min="17" max="16384" width="11.42578125" style="1"/>
  </cols>
  <sheetData>
    <row r="1" spans="1:26" x14ac:dyDescent="0.25">
      <c r="A1" s="28" t="s">
        <v>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30"/>
    </row>
    <row r="5" spans="1:26" x14ac:dyDescent="0.25">
      <c r="B5" s="22" t="s">
        <v>187</v>
      </c>
      <c r="C5" s="23"/>
      <c r="D5" s="24"/>
      <c r="G5" s="25" t="s">
        <v>187</v>
      </c>
      <c r="H5" s="26"/>
      <c r="I5" s="27"/>
    </row>
    <row r="6" spans="1:26" x14ac:dyDescent="0.25">
      <c r="B6" s="3" t="s">
        <v>2</v>
      </c>
      <c r="C6" s="3" t="s">
        <v>0</v>
      </c>
      <c r="D6" s="3" t="s">
        <v>1</v>
      </c>
      <c r="G6" s="4" t="s">
        <v>2</v>
      </c>
      <c r="H6" s="4" t="s">
        <v>0</v>
      </c>
      <c r="I6" s="4" t="s">
        <v>1</v>
      </c>
    </row>
    <row r="7" spans="1:26" x14ac:dyDescent="0.25">
      <c r="B7" s="3" t="s">
        <v>6</v>
      </c>
      <c r="C7" s="1" t="s">
        <v>9</v>
      </c>
      <c r="D7" s="1" t="s">
        <v>7</v>
      </c>
      <c r="G7" s="4" t="s">
        <v>21</v>
      </c>
      <c r="H7" s="1" t="s">
        <v>22</v>
      </c>
      <c r="I7" s="1" t="s">
        <v>7</v>
      </c>
    </row>
    <row r="8" spans="1:26" x14ac:dyDescent="0.25">
      <c r="B8" s="3" t="s">
        <v>6</v>
      </c>
      <c r="C8" s="4" t="s">
        <v>10</v>
      </c>
      <c r="D8" s="1" t="s">
        <v>8</v>
      </c>
      <c r="G8" s="4" t="s">
        <v>21</v>
      </c>
      <c r="H8" s="1" t="s">
        <v>23</v>
      </c>
    </row>
    <row r="9" spans="1:26" x14ac:dyDescent="0.25">
      <c r="B9" s="3" t="s">
        <v>6</v>
      </c>
      <c r="C9" s="1" t="s">
        <v>11</v>
      </c>
      <c r="G9" s="4" t="s">
        <v>21</v>
      </c>
      <c r="H9" s="1" t="s">
        <v>24</v>
      </c>
    </row>
    <row r="10" spans="1:26" x14ac:dyDescent="0.25">
      <c r="B10" s="3" t="s">
        <v>6</v>
      </c>
      <c r="C10" s="1" t="s">
        <v>12</v>
      </c>
      <c r="G10" s="4" t="s">
        <v>21</v>
      </c>
      <c r="H10" s="1" t="s">
        <v>25</v>
      </c>
    </row>
    <row r="11" spans="1:26" x14ac:dyDescent="0.25">
      <c r="B11" s="3" t="s">
        <v>6</v>
      </c>
      <c r="C11" s="1" t="s">
        <v>13</v>
      </c>
      <c r="G11" s="4" t="s">
        <v>21</v>
      </c>
      <c r="H11" s="1" t="s">
        <v>26</v>
      </c>
    </row>
    <row r="12" spans="1:26" x14ac:dyDescent="0.25">
      <c r="B12" s="3" t="s">
        <v>6</v>
      </c>
      <c r="C12" s="1" t="s">
        <v>14</v>
      </c>
      <c r="G12" s="4" t="s">
        <v>21</v>
      </c>
      <c r="H12" s="1" t="s">
        <v>27</v>
      </c>
    </row>
    <row r="13" spans="1:26" x14ac:dyDescent="0.25">
      <c r="B13" s="3" t="s">
        <v>6</v>
      </c>
      <c r="C13" s="1" t="s">
        <v>15</v>
      </c>
      <c r="G13" s="4" t="s">
        <v>21</v>
      </c>
      <c r="H13" s="1" t="s">
        <v>67</v>
      </c>
    </row>
    <row r="14" spans="1:26" x14ac:dyDescent="0.25">
      <c r="B14" s="3" t="s">
        <v>6</v>
      </c>
      <c r="C14" s="1" t="s">
        <v>16</v>
      </c>
      <c r="G14" s="4" t="s">
        <v>21</v>
      </c>
      <c r="H14" s="1" t="s">
        <v>68</v>
      </c>
    </row>
    <row r="15" spans="1:26" x14ac:dyDescent="0.25">
      <c r="B15" s="3" t="s">
        <v>6</v>
      </c>
      <c r="C15" s="1" t="s">
        <v>17</v>
      </c>
      <c r="D15" s="1" t="s">
        <v>29</v>
      </c>
      <c r="G15" s="4" t="s">
        <v>21</v>
      </c>
      <c r="H15" s="1" t="s">
        <v>69</v>
      </c>
    </row>
    <row r="16" spans="1:26" x14ac:dyDescent="0.25">
      <c r="B16" s="3" t="s">
        <v>6</v>
      </c>
      <c r="C16" s="1" t="s">
        <v>18</v>
      </c>
      <c r="G16" s="4" t="s">
        <v>21</v>
      </c>
      <c r="H16" s="1" t="s">
        <v>70</v>
      </c>
    </row>
    <row r="17" spans="1:26" x14ac:dyDescent="0.25">
      <c r="B17" s="3" t="s">
        <v>6</v>
      </c>
      <c r="C17" s="1" t="s">
        <v>19</v>
      </c>
      <c r="D17" s="1" t="s">
        <v>30</v>
      </c>
      <c r="G17" s="4" t="s">
        <v>21</v>
      </c>
      <c r="H17" s="1" t="s">
        <v>71</v>
      </c>
    </row>
    <row r="18" spans="1:26" x14ac:dyDescent="0.25">
      <c r="B18" s="3" t="s">
        <v>6</v>
      </c>
      <c r="C18" s="1" t="s">
        <v>20</v>
      </c>
      <c r="D18" s="1" t="s">
        <v>31</v>
      </c>
      <c r="G18" s="4" t="s">
        <v>21</v>
      </c>
      <c r="H18" s="1" t="s">
        <v>83</v>
      </c>
    </row>
    <row r="19" spans="1:26" x14ac:dyDescent="0.25">
      <c r="G19" s="4" t="s">
        <v>21</v>
      </c>
      <c r="H19" s="11" t="s">
        <v>72</v>
      </c>
    </row>
    <row r="20" spans="1:26" x14ac:dyDescent="0.25">
      <c r="G20" s="4" t="s">
        <v>21</v>
      </c>
      <c r="H20" s="13" t="s">
        <v>73</v>
      </c>
    </row>
    <row r="21" spans="1:26" x14ac:dyDescent="0.25">
      <c r="G21" s="4" t="s">
        <v>21</v>
      </c>
      <c r="H21" s="1" t="s">
        <v>188</v>
      </c>
    </row>
    <row r="22" spans="1:26" x14ac:dyDescent="0.25">
      <c r="G22" s="4" t="s">
        <v>21</v>
      </c>
      <c r="H22" s="1" t="s">
        <v>74</v>
      </c>
    </row>
    <row r="23" spans="1:26" x14ac:dyDescent="0.25">
      <c r="G23" s="4" t="s">
        <v>21</v>
      </c>
      <c r="H23" s="1" t="s">
        <v>75</v>
      </c>
      <c r="I23" s="1" t="s">
        <v>29</v>
      </c>
    </row>
    <row r="24" spans="1:26" x14ac:dyDescent="0.25">
      <c r="G24" s="4" t="s">
        <v>21</v>
      </c>
      <c r="H24" s="1" t="s">
        <v>76</v>
      </c>
    </row>
    <row r="25" spans="1:26" x14ac:dyDescent="0.25">
      <c r="G25" s="4" t="s">
        <v>21</v>
      </c>
      <c r="H25" s="1" t="s">
        <v>77</v>
      </c>
      <c r="I25" s="1" t="s">
        <v>30</v>
      </c>
    </row>
    <row r="26" spans="1:26" x14ac:dyDescent="0.25">
      <c r="G26" s="4" t="s">
        <v>21</v>
      </c>
      <c r="H26" s="1" t="s">
        <v>78</v>
      </c>
      <c r="I26" s="1" t="s">
        <v>31</v>
      </c>
    </row>
    <row r="30" spans="1:26" s="5" customFormat="1" x14ac:dyDescent="0.25">
      <c r="A30" s="28" t="s">
        <v>28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30"/>
    </row>
    <row r="31" spans="1:26" x14ac:dyDescent="0.25">
      <c r="A31" s="2"/>
      <c r="B31" s="2"/>
      <c r="C31" s="2"/>
      <c r="D31" s="2"/>
      <c r="E31" s="2"/>
      <c r="F31" s="2"/>
      <c r="G31" s="2"/>
      <c r="H31" s="2"/>
    </row>
    <row r="33" spans="2:9" x14ac:dyDescent="0.25">
      <c r="B33" s="31" t="s">
        <v>187</v>
      </c>
      <c r="C33" s="32"/>
      <c r="D33" s="33"/>
      <c r="G33" s="34" t="s">
        <v>170</v>
      </c>
      <c r="H33" s="35"/>
      <c r="I33" s="36"/>
    </row>
    <row r="34" spans="2:9" x14ac:dyDescent="0.25">
      <c r="B34" s="6" t="s">
        <v>2</v>
      </c>
      <c r="C34" s="7" t="s">
        <v>0</v>
      </c>
      <c r="D34" s="7" t="s">
        <v>1</v>
      </c>
      <c r="G34" s="8" t="s">
        <v>2</v>
      </c>
      <c r="H34" s="9" t="s">
        <v>0</v>
      </c>
      <c r="I34" s="9" t="s">
        <v>1</v>
      </c>
    </row>
    <row r="35" spans="2:9" x14ac:dyDescent="0.25">
      <c r="B35" s="6" t="s">
        <v>5</v>
      </c>
      <c r="C35" s="1" t="s">
        <v>3</v>
      </c>
      <c r="D35" s="1" t="s">
        <v>7</v>
      </c>
      <c r="G35" s="8" t="s">
        <v>44</v>
      </c>
      <c r="H35" s="1" t="s">
        <v>45</v>
      </c>
      <c r="I35" s="1" t="s">
        <v>7</v>
      </c>
    </row>
    <row r="36" spans="2:9" x14ac:dyDescent="0.25">
      <c r="B36" s="6" t="s">
        <v>5</v>
      </c>
      <c r="C36" s="1" t="s">
        <v>37</v>
      </c>
      <c r="D36" s="15" t="s">
        <v>143</v>
      </c>
      <c r="G36" s="8" t="s">
        <v>44</v>
      </c>
      <c r="H36" s="4" t="s">
        <v>58</v>
      </c>
      <c r="I36" s="1" t="s">
        <v>8</v>
      </c>
    </row>
    <row r="37" spans="2:9" x14ac:dyDescent="0.25">
      <c r="B37" s="6" t="s">
        <v>5</v>
      </c>
      <c r="C37" s="1" t="s">
        <v>38</v>
      </c>
      <c r="D37" s="21" t="s">
        <v>115</v>
      </c>
      <c r="G37" s="8" t="s">
        <v>44</v>
      </c>
      <c r="H37" s="7" t="s">
        <v>59</v>
      </c>
      <c r="I37" s="1" t="s">
        <v>8</v>
      </c>
    </row>
    <row r="38" spans="2:9" x14ac:dyDescent="0.25">
      <c r="B38" s="6" t="s">
        <v>5</v>
      </c>
      <c r="C38" s="1" t="s">
        <v>39</v>
      </c>
      <c r="D38" s="1" t="s">
        <v>66</v>
      </c>
      <c r="G38" s="8" t="s">
        <v>44</v>
      </c>
      <c r="H38" s="1" t="s">
        <v>46</v>
      </c>
      <c r="I38" s="1" t="s">
        <v>60</v>
      </c>
    </row>
    <row r="39" spans="2:9" x14ac:dyDescent="0.25">
      <c r="B39" s="6" t="s">
        <v>5</v>
      </c>
      <c r="C39" s="1" t="s">
        <v>40</v>
      </c>
      <c r="D39" s="1" t="s">
        <v>176</v>
      </c>
      <c r="G39" s="8" t="s">
        <v>44</v>
      </c>
      <c r="H39" s="1" t="s">
        <v>47</v>
      </c>
      <c r="I39" s="1" t="s">
        <v>61</v>
      </c>
    </row>
    <row r="40" spans="2:9" x14ac:dyDescent="0.25">
      <c r="B40" s="6" t="s">
        <v>5</v>
      </c>
      <c r="C40" s="1" t="s">
        <v>41</v>
      </c>
      <c r="D40" s="1" t="s">
        <v>175</v>
      </c>
      <c r="G40" s="8" t="s">
        <v>44</v>
      </c>
      <c r="H40" s="1" t="s">
        <v>48</v>
      </c>
      <c r="I40" s="1" t="s">
        <v>62</v>
      </c>
    </row>
    <row r="41" spans="2:9" x14ac:dyDescent="0.25">
      <c r="B41" s="6" t="s">
        <v>5</v>
      </c>
      <c r="C41" s="1" t="s">
        <v>42</v>
      </c>
      <c r="D41" s="1" t="s">
        <v>177</v>
      </c>
      <c r="G41" s="8" t="s">
        <v>44</v>
      </c>
      <c r="H41" s="1" t="s">
        <v>49</v>
      </c>
      <c r="I41" s="1" t="s">
        <v>63</v>
      </c>
    </row>
    <row r="42" spans="2:9" x14ac:dyDescent="0.25">
      <c r="B42" s="6" t="s">
        <v>5</v>
      </c>
      <c r="C42" s="1" t="s">
        <v>43</v>
      </c>
      <c r="D42" s="1" t="s">
        <v>178</v>
      </c>
      <c r="G42" s="8" t="s">
        <v>44</v>
      </c>
      <c r="H42" s="1" t="s">
        <v>50</v>
      </c>
      <c r="I42" s="1" t="s">
        <v>64</v>
      </c>
    </row>
    <row r="43" spans="2:9" x14ac:dyDescent="0.25">
      <c r="B43" s="6" t="s">
        <v>5</v>
      </c>
      <c r="C43" s="1" t="s">
        <v>179</v>
      </c>
      <c r="D43" s="1" t="s">
        <v>181</v>
      </c>
      <c r="G43" s="8" t="s">
        <v>44</v>
      </c>
      <c r="H43" s="1" t="s">
        <v>51</v>
      </c>
    </row>
    <row r="44" spans="2:9" x14ac:dyDescent="0.25">
      <c r="B44" s="6" t="s">
        <v>5</v>
      </c>
      <c r="C44" s="1" t="s">
        <v>180</v>
      </c>
      <c r="D44" s="1" t="s">
        <v>182</v>
      </c>
      <c r="G44" s="8" t="s">
        <v>44</v>
      </c>
      <c r="H44" s="1" t="s">
        <v>52</v>
      </c>
    </row>
    <row r="45" spans="2:9" x14ac:dyDescent="0.25">
      <c r="B45" s="6" t="s">
        <v>5</v>
      </c>
      <c r="C45" s="1" t="s">
        <v>183</v>
      </c>
      <c r="D45" s="1" t="s">
        <v>185</v>
      </c>
      <c r="G45" s="8" t="s">
        <v>44</v>
      </c>
      <c r="H45" s="1" t="s">
        <v>53</v>
      </c>
    </row>
    <row r="46" spans="2:9" x14ac:dyDescent="0.25">
      <c r="B46" s="6" t="s">
        <v>5</v>
      </c>
      <c r="C46" s="1" t="s">
        <v>184</v>
      </c>
      <c r="D46" s="1" t="s">
        <v>186</v>
      </c>
      <c r="G46" s="8" t="s">
        <v>44</v>
      </c>
      <c r="H46" s="1" t="s">
        <v>54</v>
      </c>
      <c r="I46" s="1" t="s">
        <v>29</v>
      </c>
    </row>
    <row r="47" spans="2:9" x14ac:dyDescent="0.25">
      <c r="B47" s="6" t="s">
        <v>5</v>
      </c>
      <c r="C47" s="1" t="s">
        <v>32</v>
      </c>
      <c r="G47" s="8" t="s">
        <v>44</v>
      </c>
      <c r="H47" s="1" t="s">
        <v>55</v>
      </c>
    </row>
    <row r="48" spans="2:9" x14ac:dyDescent="0.25">
      <c r="B48" s="6" t="s">
        <v>5</v>
      </c>
      <c r="C48" s="1" t="s">
        <v>33</v>
      </c>
      <c r="D48" s="1" t="s">
        <v>29</v>
      </c>
      <c r="G48" s="8" t="s">
        <v>44</v>
      </c>
      <c r="H48" s="1" t="s">
        <v>56</v>
      </c>
      <c r="I48" s="1" t="s">
        <v>30</v>
      </c>
    </row>
    <row r="49" spans="1:26" x14ac:dyDescent="0.25">
      <c r="B49" s="6" t="s">
        <v>5</v>
      </c>
      <c r="C49" s="1" t="s">
        <v>34</v>
      </c>
      <c r="G49" s="8" t="s">
        <v>44</v>
      </c>
      <c r="H49" s="1" t="s">
        <v>57</v>
      </c>
      <c r="I49" s="1" t="s">
        <v>31</v>
      </c>
    </row>
    <row r="50" spans="1:26" x14ac:dyDescent="0.25">
      <c r="B50" s="6" t="s">
        <v>5</v>
      </c>
      <c r="C50" s="1" t="s">
        <v>35</v>
      </c>
      <c r="D50" s="1" t="s">
        <v>30</v>
      </c>
    </row>
    <row r="51" spans="1:26" x14ac:dyDescent="0.25">
      <c r="B51" s="6" t="s">
        <v>5</v>
      </c>
      <c r="C51" s="1" t="s">
        <v>36</v>
      </c>
      <c r="D51" s="1" t="s">
        <v>31</v>
      </c>
    </row>
    <row r="52" spans="1:26" x14ac:dyDescent="0.25">
      <c r="A52" s="28" t="s">
        <v>65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30"/>
    </row>
    <row r="58" spans="1:26" x14ac:dyDescent="0.25">
      <c r="B58" s="37" t="s">
        <v>170</v>
      </c>
      <c r="C58" s="38"/>
      <c r="D58" s="39"/>
      <c r="G58" s="40" t="s">
        <v>170</v>
      </c>
      <c r="H58" s="41"/>
      <c r="I58" s="42"/>
      <c r="K58" s="46" t="s">
        <v>170</v>
      </c>
      <c r="L58" s="47"/>
      <c r="M58" s="48"/>
      <c r="O58" s="49" t="s">
        <v>170</v>
      </c>
      <c r="P58" s="50"/>
      <c r="Q58" s="51"/>
    </row>
    <row r="59" spans="1:26" x14ac:dyDescent="0.25">
      <c r="B59" s="10" t="s">
        <v>2</v>
      </c>
      <c r="C59" s="11" t="s">
        <v>0</v>
      </c>
      <c r="D59" s="11" t="s">
        <v>1</v>
      </c>
      <c r="G59" s="12" t="s">
        <v>2</v>
      </c>
      <c r="H59" s="13" t="s">
        <v>0</v>
      </c>
      <c r="I59" s="13" t="s">
        <v>1</v>
      </c>
      <c r="K59" s="16" t="s">
        <v>2</v>
      </c>
      <c r="L59" s="17" t="s">
        <v>0</v>
      </c>
      <c r="M59" s="17" t="s">
        <v>1</v>
      </c>
      <c r="O59" s="18" t="s">
        <v>2</v>
      </c>
      <c r="P59" s="19" t="s">
        <v>0</v>
      </c>
      <c r="Q59" s="19" t="s">
        <v>1</v>
      </c>
    </row>
    <row r="60" spans="1:26" x14ac:dyDescent="0.25">
      <c r="B60" s="10" t="s">
        <v>84</v>
      </c>
      <c r="C60" s="1" t="s">
        <v>85</v>
      </c>
      <c r="D60" s="1" t="s">
        <v>7</v>
      </c>
      <c r="G60" s="12" t="s">
        <v>112</v>
      </c>
      <c r="H60" s="1" t="s">
        <v>98</v>
      </c>
      <c r="I60" s="1" t="s">
        <v>7</v>
      </c>
      <c r="K60" s="16" t="s">
        <v>113</v>
      </c>
      <c r="L60" s="1" t="s">
        <v>115</v>
      </c>
      <c r="M60" s="1" t="s">
        <v>7</v>
      </c>
      <c r="N60" s="1">
        <v>25</v>
      </c>
      <c r="O60" s="18" t="s">
        <v>114</v>
      </c>
      <c r="P60" s="1" t="s">
        <v>129</v>
      </c>
      <c r="Q60" s="1" t="s">
        <v>7</v>
      </c>
    </row>
    <row r="61" spans="1:26" x14ac:dyDescent="0.25">
      <c r="B61" s="10" t="s">
        <v>84</v>
      </c>
      <c r="C61" s="1" t="s">
        <v>86</v>
      </c>
      <c r="D61" s="1" t="s">
        <v>66</v>
      </c>
      <c r="G61" s="12" t="s">
        <v>112</v>
      </c>
      <c r="H61" s="11" t="s">
        <v>99</v>
      </c>
      <c r="I61" s="1" t="s">
        <v>8</v>
      </c>
      <c r="K61" s="16" t="s">
        <v>113</v>
      </c>
      <c r="L61" s="20" t="s">
        <v>116</v>
      </c>
      <c r="M61" s="1" t="s">
        <v>8</v>
      </c>
      <c r="O61" s="18" t="s">
        <v>114</v>
      </c>
      <c r="P61" s="17" t="s">
        <v>130</v>
      </c>
      <c r="Q61" s="1" t="s">
        <v>8</v>
      </c>
      <c r="R61" s="1">
        <v>25</v>
      </c>
    </row>
    <row r="62" spans="1:26" x14ac:dyDescent="0.25">
      <c r="B62" s="10" t="s">
        <v>84</v>
      </c>
      <c r="C62" s="1" t="s">
        <v>87</v>
      </c>
      <c r="D62" s="1" t="s">
        <v>171</v>
      </c>
      <c r="G62" s="12" t="s">
        <v>112</v>
      </c>
      <c r="H62" s="1" t="s">
        <v>100</v>
      </c>
      <c r="I62" s="1" t="s">
        <v>172</v>
      </c>
      <c r="K62" s="16" t="s">
        <v>113</v>
      </c>
      <c r="L62" s="1" t="s">
        <v>117</v>
      </c>
      <c r="M62" s="1" t="s">
        <v>173</v>
      </c>
      <c r="O62" s="18" t="s">
        <v>114</v>
      </c>
      <c r="P62" s="1" t="s">
        <v>131</v>
      </c>
      <c r="Q62" s="1" t="s">
        <v>174</v>
      </c>
    </row>
    <row r="63" spans="1:26" x14ac:dyDescent="0.25">
      <c r="B63" s="10" t="s">
        <v>84</v>
      </c>
      <c r="C63" s="1" t="s">
        <v>88</v>
      </c>
      <c r="G63" s="12" t="s">
        <v>112</v>
      </c>
      <c r="H63" s="1" t="s">
        <v>101</v>
      </c>
      <c r="K63" s="16" t="s">
        <v>113</v>
      </c>
      <c r="L63" s="1" t="s">
        <v>118</v>
      </c>
      <c r="O63" s="18" t="s">
        <v>114</v>
      </c>
      <c r="P63" s="1" t="s">
        <v>132</v>
      </c>
    </row>
    <row r="64" spans="1:26" x14ac:dyDescent="0.25">
      <c r="B64" s="10" t="s">
        <v>84</v>
      </c>
      <c r="C64" s="1" t="s">
        <v>89</v>
      </c>
      <c r="G64" s="12" t="s">
        <v>112</v>
      </c>
      <c r="H64" s="1" t="s">
        <v>102</v>
      </c>
      <c r="K64" s="16" t="s">
        <v>113</v>
      </c>
      <c r="L64" s="1" t="s">
        <v>119</v>
      </c>
      <c r="O64" s="18" t="s">
        <v>114</v>
      </c>
      <c r="P64" s="1" t="s">
        <v>133</v>
      </c>
    </row>
    <row r="65" spans="1:26" x14ac:dyDescent="0.25">
      <c r="B65" s="10" t="s">
        <v>84</v>
      </c>
      <c r="C65" s="1" t="s">
        <v>90</v>
      </c>
      <c r="G65" s="12" t="s">
        <v>112</v>
      </c>
      <c r="H65" s="1" t="s">
        <v>103</v>
      </c>
      <c r="K65" s="16" t="s">
        <v>113</v>
      </c>
      <c r="L65" s="1" t="s">
        <v>120</v>
      </c>
      <c r="O65" s="18" t="s">
        <v>114</v>
      </c>
      <c r="P65" s="1" t="s">
        <v>134</v>
      </c>
    </row>
    <row r="66" spans="1:26" x14ac:dyDescent="0.25">
      <c r="B66" s="10" t="s">
        <v>84</v>
      </c>
      <c r="C66" s="1" t="s">
        <v>91</v>
      </c>
      <c r="G66" s="12" t="s">
        <v>112</v>
      </c>
      <c r="H66" s="1" t="s">
        <v>104</v>
      </c>
      <c r="K66" s="16" t="s">
        <v>113</v>
      </c>
      <c r="L66" s="1" t="s">
        <v>121</v>
      </c>
      <c r="O66" s="18" t="s">
        <v>114</v>
      </c>
      <c r="P66" s="1" t="s">
        <v>135</v>
      </c>
    </row>
    <row r="67" spans="1:26" x14ac:dyDescent="0.25">
      <c r="B67" s="10" t="s">
        <v>84</v>
      </c>
      <c r="C67" s="1" t="s">
        <v>92</v>
      </c>
      <c r="G67" s="12" t="s">
        <v>112</v>
      </c>
      <c r="H67" s="1" t="s">
        <v>105</v>
      </c>
      <c r="K67" s="16" t="s">
        <v>113</v>
      </c>
      <c r="L67" s="1" t="s">
        <v>122</v>
      </c>
      <c r="O67" s="18" t="s">
        <v>114</v>
      </c>
      <c r="P67" s="1" t="s">
        <v>136</v>
      </c>
    </row>
    <row r="68" spans="1:26" x14ac:dyDescent="0.25">
      <c r="B68" s="10" t="s">
        <v>84</v>
      </c>
      <c r="C68" s="1" t="s">
        <v>93</v>
      </c>
      <c r="G68" s="12" t="s">
        <v>112</v>
      </c>
      <c r="H68" s="1" t="s">
        <v>106</v>
      </c>
      <c r="K68" s="16" t="s">
        <v>113</v>
      </c>
      <c r="L68" s="1" t="s">
        <v>123</v>
      </c>
      <c r="O68" s="18" t="s">
        <v>114</v>
      </c>
      <c r="P68" s="1" t="s">
        <v>137</v>
      </c>
    </row>
    <row r="69" spans="1:26" x14ac:dyDescent="0.25">
      <c r="B69" s="10" t="s">
        <v>84</v>
      </c>
      <c r="C69" s="1" t="s">
        <v>94</v>
      </c>
      <c r="D69" s="1" t="s">
        <v>29</v>
      </c>
      <c r="G69" s="12" t="s">
        <v>112</v>
      </c>
      <c r="H69" s="1" t="s">
        <v>107</v>
      </c>
      <c r="K69" s="16" t="s">
        <v>113</v>
      </c>
      <c r="L69" s="1" t="s">
        <v>124</v>
      </c>
      <c r="O69" s="18" t="s">
        <v>114</v>
      </c>
      <c r="P69" s="1" t="s">
        <v>138</v>
      </c>
    </row>
    <row r="70" spans="1:26" x14ac:dyDescent="0.25">
      <c r="B70" s="10" t="s">
        <v>84</v>
      </c>
      <c r="C70" s="1" t="s">
        <v>95</v>
      </c>
      <c r="G70" s="12" t="s">
        <v>112</v>
      </c>
      <c r="H70" s="1" t="s">
        <v>108</v>
      </c>
      <c r="I70" s="1" t="s">
        <v>29</v>
      </c>
      <c r="K70" s="16" t="s">
        <v>113</v>
      </c>
      <c r="L70" s="1" t="s">
        <v>125</v>
      </c>
      <c r="M70" s="1" t="s">
        <v>29</v>
      </c>
      <c r="O70" s="18" t="s">
        <v>114</v>
      </c>
      <c r="P70" s="1" t="s">
        <v>139</v>
      </c>
      <c r="Q70" s="1" t="s">
        <v>29</v>
      </c>
    </row>
    <row r="71" spans="1:26" x14ac:dyDescent="0.25">
      <c r="B71" s="10" t="s">
        <v>84</v>
      </c>
      <c r="C71" s="1" t="s">
        <v>96</v>
      </c>
      <c r="D71" s="1" t="s">
        <v>30</v>
      </c>
      <c r="G71" s="12" t="s">
        <v>112</v>
      </c>
      <c r="H71" s="1" t="s">
        <v>109</v>
      </c>
      <c r="K71" s="16" t="s">
        <v>113</v>
      </c>
      <c r="L71" s="1" t="s">
        <v>126</v>
      </c>
      <c r="O71" s="18" t="s">
        <v>114</v>
      </c>
      <c r="P71" s="1" t="s">
        <v>140</v>
      </c>
    </row>
    <row r="72" spans="1:26" x14ac:dyDescent="0.25">
      <c r="B72" s="10" t="s">
        <v>84</v>
      </c>
      <c r="C72" s="1" t="s">
        <v>97</v>
      </c>
      <c r="D72" s="1" t="s">
        <v>31</v>
      </c>
      <c r="G72" s="12" t="s">
        <v>112</v>
      </c>
      <c r="H72" s="1" t="s">
        <v>110</v>
      </c>
      <c r="I72" s="1" t="s">
        <v>30</v>
      </c>
      <c r="K72" s="16" t="s">
        <v>113</v>
      </c>
      <c r="L72" s="1" t="s">
        <v>127</v>
      </c>
      <c r="M72" s="1" t="s">
        <v>30</v>
      </c>
      <c r="O72" s="18" t="s">
        <v>114</v>
      </c>
      <c r="P72" s="1" t="s">
        <v>141</v>
      </c>
      <c r="Q72" s="1" t="s">
        <v>30</v>
      </c>
    </row>
    <row r="73" spans="1:26" x14ac:dyDescent="0.25">
      <c r="G73" s="12" t="s">
        <v>112</v>
      </c>
      <c r="H73" s="1" t="s">
        <v>111</v>
      </c>
      <c r="I73" s="1" t="s">
        <v>31</v>
      </c>
      <c r="K73" s="16" t="s">
        <v>113</v>
      </c>
      <c r="L73" s="1" t="s">
        <v>128</v>
      </c>
      <c r="M73" s="1" t="s">
        <v>31</v>
      </c>
      <c r="O73" s="18" t="s">
        <v>114</v>
      </c>
      <c r="P73" s="1" t="s">
        <v>142</v>
      </c>
      <c r="Q73" s="1" t="s">
        <v>31</v>
      </c>
    </row>
    <row r="76" spans="1:26" x14ac:dyDescent="0.25">
      <c r="A76" s="28" t="s">
        <v>79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30"/>
    </row>
    <row r="79" spans="1:26" x14ac:dyDescent="0.25">
      <c r="B79" s="43" t="s">
        <v>170</v>
      </c>
      <c r="C79" s="44"/>
      <c r="D79" s="45"/>
      <c r="G79" s="43" t="s">
        <v>170</v>
      </c>
      <c r="H79" s="44"/>
      <c r="I79" s="45"/>
    </row>
    <row r="80" spans="1:26" x14ac:dyDescent="0.25">
      <c r="B80" s="14" t="s">
        <v>2</v>
      </c>
      <c r="C80" s="15" t="s">
        <v>0</v>
      </c>
      <c r="D80" s="15" t="s">
        <v>1</v>
      </c>
      <c r="G80" s="14" t="s">
        <v>2</v>
      </c>
      <c r="H80" s="15" t="s">
        <v>0</v>
      </c>
      <c r="I80" s="15" t="s">
        <v>1</v>
      </c>
    </row>
    <row r="81" spans="2:16" x14ac:dyDescent="0.25">
      <c r="B81" s="14" t="s">
        <v>80</v>
      </c>
      <c r="C81" s="1" t="s">
        <v>143</v>
      </c>
      <c r="D81" s="1" t="s">
        <v>7</v>
      </c>
      <c r="G81" s="14" t="s">
        <v>156</v>
      </c>
      <c r="H81" s="1" t="s">
        <v>157</v>
      </c>
      <c r="I81" s="1" t="s">
        <v>7</v>
      </c>
      <c r="O81" s="1">
        <f>6*8</f>
        <v>48</v>
      </c>
      <c r="P81" s="1">
        <v>2704000</v>
      </c>
    </row>
    <row r="82" spans="2:16" x14ac:dyDescent="0.25">
      <c r="B82" s="14" t="s">
        <v>80</v>
      </c>
      <c r="C82" s="1" t="s">
        <v>144</v>
      </c>
      <c r="D82" s="1" t="s">
        <v>81</v>
      </c>
      <c r="G82" s="14" t="s">
        <v>156</v>
      </c>
      <c r="H82" s="1" t="s">
        <v>159</v>
      </c>
      <c r="I82" s="1" t="s">
        <v>81</v>
      </c>
    </row>
    <row r="83" spans="2:16" x14ac:dyDescent="0.25">
      <c r="B83" s="14" t="s">
        <v>80</v>
      </c>
      <c r="C83" s="1" t="s">
        <v>145</v>
      </c>
      <c r="D83" s="1" t="s">
        <v>82</v>
      </c>
      <c r="G83" s="14" t="s">
        <v>156</v>
      </c>
      <c r="H83" s="1" t="s">
        <v>160</v>
      </c>
      <c r="I83" s="1" t="s">
        <v>82</v>
      </c>
      <c r="O83" s="1">
        <v>42</v>
      </c>
      <c r="P83" s="1">
        <v>6500</v>
      </c>
    </row>
    <row r="84" spans="2:16" x14ac:dyDescent="0.25">
      <c r="B84" s="14" t="s">
        <v>80</v>
      </c>
      <c r="C84" s="1" t="s">
        <v>146</v>
      </c>
      <c r="G84" s="14" t="s">
        <v>156</v>
      </c>
      <c r="H84" s="1" t="s">
        <v>161</v>
      </c>
      <c r="P84" s="1">
        <f>+P83*O83</f>
        <v>273000</v>
      </c>
    </row>
    <row r="85" spans="2:16" x14ac:dyDescent="0.25">
      <c r="B85" s="14" t="s">
        <v>80</v>
      </c>
      <c r="C85" s="1" t="s">
        <v>147</v>
      </c>
      <c r="G85" s="14" t="s">
        <v>156</v>
      </c>
      <c r="H85" s="1" t="s">
        <v>162</v>
      </c>
    </row>
    <row r="86" spans="2:16" x14ac:dyDescent="0.25">
      <c r="B86" s="14" t="s">
        <v>80</v>
      </c>
      <c r="C86" s="1" t="s">
        <v>148</v>
      </c>
      <c r="G86" s="14" t="s">
        <v>156</v>
      </c>
      <c r="H86" s="1" t="s">
        <v>163</v>
      </c>
    </row>
    <row r="87" spans="2:16" x14ac:dyDescent="0.25">
      <c r="B87" s="14" t="s">
        <v>80</v>
      </c>
      <c r="C87" s="1" t="s">
        <v>149</v>
      </c>
      <c r="G87" s="14" t="s">
        <v>156</v>
      </c>
      <c r="H87" s="1" t="s">
        <v>164</v>
      </c>
    </row>
    <row r="88" spans="2:16" x14ac:dyDescent="0.25">
      <c r="B88" s="14" t="s">
        <v>80</v>
      </c>
      <c r="C88" s="1" t="s">
        <v>150</v>
      </c>
      <c r="G88" s="14" t="s">
        <v>156</v>
      </c>
      <c r="H88" s="1" t="s">
        <v>165</v>
      </c>
    </row>
    <row r="89" spans="2:16" x14ac:dyDescent="0.25">
      <c r="B89" s="14" t="s">
        <v>80</v>
      </c>
      <c r="C89" s="1" t="s">
        <v>151</v>
      </c>
      <c r="G89" s="14" t="s">
        <v>156</v>
      </c>
      <c r="H89" s="1" t="s">
        <v>158</v>
      </c>
    </row>
    <row r="90" spans="2:16" x14ac:dyDescent="0.25">
      <c r="B90" s="14" t="s">
        <v>80</v>
      </c>
      <c r="C90" s="1" t="s">
        <v>152</v>
      </c>
      <c r="G90" s="14" t="s">
        <v>156</v>
      </c>
      <c r="H90" s="1" t="s">
        <v>166</v>
      </c>
    </row>
    <row r="91" spans="2:16" x14ac:dyDescent="0.25">
      <c r="B91" s="14" t="s">
        <v>80</v>
      </c>
      <c r="C91" s="1" t="s">
        <v>153</v>
      </c>
      <c r="G91" s="14" t="s">
        <v>156</v>
      </c>
      <c r="H91" s="1" t="s">
        <v>167</v>
      </c>
    </row>
    <row r="92" spans="2:16" x14ac:dyDescent="0.25">
      <c r="B92" s="14" t="s">
        <v>80</v>
      </c>
      <c r="C92" s="1" t="s">
        <v>154</v>
      </c>
      <c r="G92" s="14" t="s">
        <v>156</v>
      </c>
      <c r="H92" s="1" t="s">
        <v>168</v>
      </c>
    </row>
    <row r="93" spans="2:16" x14ac:dyDescent="0.25">
      <c r="B93" s="14" t="s">
        <v>80</v>
      </c>
      <c r="C93" s="1" t="s">
        <v>155</v>
      </c>
      <c r="G93" s="14" t="s">
        <v>156</v>
      </c>
      <c r="H93" s="1" t="s">
        <v>169</v>
      </c>
    </row>
  </sheetData>
  <mergeCells count="14">
    <mergeCell ref="A52:Z52"/>
    <mergeCell ref="B58:D58"/>
    <mergeCell ref="G58:I58"/>
    <mergeCell ref="A76:Z76"/>
    <mergeCell ref="B79:D79"/>
    <mergeCell ref="K58:M58"/>
    <mergeCell ref="O58:Q58"/>
    <mergeCell ref="G79:I79"/>
    <mergeCell ref="B5:D5"/>
    <mergeCell ref="G5:I5"/>
    <mergeCell ref="A30:Z30"/>
    <mergeCell ref="A1:Z1"/>
    <mergeCell ref="B33:D33"/>
    <mergeCell ref="G33:I33"/>
  </mergeCells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Krhistian Alejandro Gonzalez Duarte</dc:creator>
  <cp:lastModifiedBy>Krhistian Alejandro Gonzalez Duarte</cp:lastModifiedBy>
  <dcterms:created xsi:type="dcterms:W3CDTF">2024-08-18T21:47:35Z</dcterms:created>
  <dcterms:modified xsi:type="dcterms:W3CDTF">2025-08-24T21:26:32Z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2024-08-19T02:32:16Z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c419a6e1-f703-46d0-81a5-8ec59251703f</vt:lpwstr>
  </property>
  <property fmtid="{D5CDD505-2E9C-101B-9397-08002B2CF9AE}" pid="8" name="MSIP_Label_349e4846-88cf-4894-bf06-ac98d70f27be_ContentBits">
    <vt:lpwstr>0</vt:lpwstr>
  </property>
</Properties>
</file>